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<sst xmlns="http://schemas.openxmlformats.org/spreadsheetml/2006/main" count="9" uniqueCount="9">
  <si>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Altura (cm)</t>
  </si>
  <si>
    <t>fi</t>
  </si>
  <si>
    <t>xi.fi</t>
  </si>
  <si>
    <t>xi--x̅</t>
  </si>
  <si>
    <t>(xi--x̅)²</t>
  </si>
  <si>
    <t>(xi--x̅)².fi</t>
  </si>
  <si>
    <t>TOTAL</t>
  </si>
  <si>
    <t>x̅ = 171,14</t>
  </si>
  <si>
    <t>Desvio padrão: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</si>
</sst>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i/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xi.f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>
      <c r="A2" s="4">
        <v>152.0</v>
      </c>
      <c r="B2" s="4">
        <v>2.0</v>
      </c>
      <c r="C2" s="5">
        <f t="shared" ref="C2:C7" si="1">A2*B2</f>
        <v>304</v>
      </c>
      <c r="D2" s="6">
        <f t="shared" ref="D2:D7" si="2">A2-171.14</f>
        <v>-19.14</v>
      </c>
      <c r="E2" s="6">
        <f t="shared" ref="E2:E7" si="3">D2^2</f>
        <v>366.3396</v>
      </c>
      <c r="F2" s="6">
        <f t="shared" ref="F2:F7" si="4">E2*B2</f>
        <v>732.6792</v>
      </c>
    </row>
    <row r="3">
      <c r="A3" s="4">
        <v>160.0</v>
      </c>
      <c r="B3" s="4">
        <v>5.0</v>
      </c>
      <c r="C3" s="5">
        <f t="shared" si="1"/>
        <v>800</v>
      </c>
      <c r="D3" s="6">
        <f t="shared" si="2"/>
        <v>-11.14</v>
      </c>
      <c r="E3" s="6">
        <f t="shared" si="3"/>
        <v>124.0996</v>
      </c>
      <c r="F3" s="6">
        <f t="shared" si="4"/>
        <v>620.498</v>
      </c>
    </row>
    <row r="4">
      <c r="A4" s="4">
        <v>164.0</v>
      </c>
      <c r="B4" s="4">
        <v>2.0</v>
      </c>
      <c r="C4" s="5">
        <f t="shared" si="1"/>
        <v>328</v>
      </c>
      <c r="D4" s="6">
        <f t="shared" si="2"/>
        <v>-7.14</v>
      </c>
      <c r="E4" s="6">
        <f t="shared" si="3"/>
        <v>50.9796</v>
      </c>
      <c r="F4" s="6">
        <f t="shared" si="4"/>
        <v>101.9592</v>
      </c>
    </row>
    <row r="5">
      <c r="A5" s="4">
        <v>176.0</v>
      </c>
      <c r="B5" s="4">
        <v>5.0</v>
      </c>
      <c r="C5" s="5">
        <f t="shared" si="1"/>
        <v>880</v>
      </c>
      <c r="D5" s="6">
        <f t="shared" si="2"/>
        <v>4.86</v>
      </c>
      <c r="E5" s="6">
        <f t="shared" si="3"/>
        <v>23.6196</v>
      </c>
      <c r="F5" s="6">
        <f t="shared" si="4"/>
        <v>118.098</v>
      </c>
    </row>
    <row r="6">
      <c r="A6" s="4">
        <v>182.0</v>
      </c>
      <c r="B6" s="4">
        <v>3.0</v>
      </c>
      <c r="C6" s="5">
        <f t="shared" si="1"/>
        <v>546</v>
      </c>
      <c r="D6" s="6">
        <f t="shared" si="2"/>
        <v>10.86</v>
      </c>
      <c r="E6" s="6">
        <f t="shared" si="3"/>
        <v>117.9396</v>
      </c>
      <c r="F6" s="6">
        <f t="shared" si="4"/>
        <v>353.8188</v>
      </c>
    </row>
    <row r="7">
      <c r="A7" s="7">
        <v>184.0</v>
      </c>
      <c r="B7" s="4">
        <v>4.0</v>
      </c>
      <c r="C7" s="5">
        <f t="shared" si="1"/>
        <v>736</v>
      </c>
      <c r="D7" s="6">
        <f t="shared" si="2"/>
        <v>12.86</v>
      </c>
      <c r="E7" s="6">
        <f t="shared" si="3"/>
        <v>165.3796</v>
      </c>
      <c r="F7" s="6">
        <f t="shared" si="4"/>
        <v>661.5184</v>
      </c>
    </row>
    <row r="8">
      <c r="A8" s="1" t="s">
        <v>6</v>
      </c>
      <c r="B8" s="1">
        <v>21.0</v>
      </c>
      <c r="C8" s="8">
        <f>SUM(C2:C7)</f>
        <v>3594</v>
      </c>
      <c r="F8" s="9">
        <f>SUM(F2:F7)</f>
        <v>2588.5716</v>
      </c>
    </row>
    <row r="10">
      <c r="A10" s="10" t="s">
        <v>7</v>
      </c>
      <c r="B10" s="10" t="s">
        <v>8</v>
      </c>
      <c r="C10" s="6">
        <f>SQRT(F8/B8)</f>
        <v>11.10249135</v>
      </c>
    </row>
  </sheetData>
  <hyperlinks>
    <hyperlink r:id="rId1" ref="C1"/>
  </hyperlinks>
  <drawing r:id="rId2"/>
</worksheet>
</file>